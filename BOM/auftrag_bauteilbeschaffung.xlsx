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emester6\Projektarbeit\Projektarbeit_Joystick\BOM\"/>
    </mc:Choice>
  </mc:AlternateContent>
  <xr:revisionPtr revIDLastSave="0" documentId="8_{94889BB8-5C37-4E46-B0FD-68D1C3760496}" xr6:coauthVersionLast="47" xr6:coauthVersionMax="47" xr10:uidLastSave="{00000000-0000-0000-0000-000000000000}"/>
  <bookViews>
    <workbookView xWindow="-110" yWindow="-110" windowWidth="19420" windowHeight="10300" tabRatio="831" xr2:uid="{AF4D5118-A7DF-45CA-A6E8-AEDA2A420ECE}"/>
  </bookViews>
  <sheets>
    <sheet name="Bestellliste" sheetId="1" r:id="rId1"/>
  </sheets>
  <definedNames>
    <definedName name="head_detail" localSheetId="0">Bestellliste!$A$6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H7" i="1"/>
  <c r="H8" i="1"/>
  <c r="H9" i="1"/>
  <c r="H10" i="1"/>
  <c r="H11" i="1"/>
  <c r="H12" i="1"/>
  <c r="H13" i="1"/>
  <c r="H14" i="1"/>
  <c r="H15" i="1"/>
  <c r="H16" i="1"/>
  <c r="H17" i="1"/>
  <c r="H18" i="1"/>
  <c r="H19" i="1"/>
  <c r="H20" i="1"/>
  <c r="H21" i="1"/>
  <c r="H22" i="1"/>
  <c r="H23" i="1"/>
  <c r="H24" i="1"/>
  <c r="H25" i="1"/>
  <c r="H26" i="1"/>
  <c r="H27" i="1"/>
  <c r="H28" i="1"/>
  <c r="H29" i="1" l="1"/>
</calcChain>
</file>

<file path=xl/sharedStrings.xml><?xml version="1.0" encoding="utf-8"?>
<sst xmlns="http://schemas.openxmlformats.org/spreadsheetml/2006/main" count="31" uniqueCount="29">
  <si>
    <t>Name des Bestellers:</t>
  </si>
  <si>
    <t>Vorlesung</t>
  </si>
  <si>
    <t>Projekt</t>
  </si>
  <si>
    <t>E-Mail</t>
  </si>
  <si>
    <t>Datum</t>
  </si>
  <si>
    <t>Bauteilbezeichnung</t>
  </si>
  <si>
    <t>Bestellnr.</t>
  </si>
  <si>
    <t>Lieferant</t>
  </si>
  <si>
    <t>Link</t>
  </si>
  <si>
    <t>Anzahl</t>
  </si>
  <si>
    <t>Einzelpreis</t>
  </si>
  <si>
    <t>Gesamtpreis</t>
  </si>
  <si>
    <t>Summe:</t>
  </si>
  <si>
    <t>Bei der Auswahl der Bauteile ist auf die Lieferbarkeit zu achten! Aus organisatorischen Gründen werden Artikel, die zum Zeitpunkt der Bestellung nicht lieferbar sind, von der Bestellung ausgenommen. Ersatz muss selbsständig gesucht und mit neuem Formular bestellt werden.</t>
  </si>
  <si>
    <t>Bei der Auswahl der Bauteile ist auf Mindestbestellmengen zu achten! Zur Vermeidung von Kosten und Abfall werden Artikel, bei denen die benötigte Menge kleiner ist als die Mindestbestellmenge, von der Bestellung ausgenommen. Ersatz muss selbstständig gesucht und mit neuem Formular bestellt werden.</t>
  </si>
  <si>
    <t>Maxim Castor und Jonathan Stoll</t>
  </si>
  <si>
    <t>-</t>
  </si>
  <si>
    <t>Orange-Blue Bootsprojekt</t>
  </si>
  <si>
    <t>maxim.castor@htwg-konstanz.de</t>
  </si>
  <si>
    <t>Microcontroller STM32F303RET6</t>
  </si>
  <si>
    <t>511-STM32F303RET6</t>
  </si>
  <si>
    <t>Mouser Electronics</t>
  </si>
  <si>
    <t>STM32F303RET6 STMicroelectronics | Mouser Deutschland</t>
  </si>
  <si>
    <t xml:space="preserve">LDO </t>
  </si>
  <si>
    <t>595-TLV1117LV33DCYR</t>
  </si>
  <si>
    <t>TLV1117LV33DCYR Texas Instruments | Mouser Deutschland</t>
  </si>
  <si>
    <t>RS485 Transceiver</t>
  </si>
  <si>
    <t>701-SP3485EN-L</t>
  </si>
  <si>
    <t>SP3485EN-L MaxLinear | Mouser Deutschland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</si>
</sst>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quot; €&quot;;[Red]\-#,##0.00&quot; €&quot;"/>
    <numFmt numFmtId="167" formatCode="#,##0.00&quot; €&quot;"/>
  </numFmts>
  <fonts count="9">
    <font>
      <sz val="11"/>
      <color indexed="8"/>
      <name val="Calibri"/>
      <family val="2"/>
    </font>
    <font>
      <sz val="12"/>
      <color indexed="8"/>
      <name val="Arial"/>
      <family val="2"/>
      <charset val="1"/>
    </font>
    <font>
      <sz val="10"/>
      <color indexed="8"/>
      <name val="Arial"/>
      <family val="2"/>
      <charset val="1"/>
    </font>
    <font>
      <b/>
      <sz val="10"/>
      <color indexed="8"/>
      <name val="Arial"/>
      <family val="2"/>
      <charset val="1"/>
    </font>
    <font>
      <b/>
      <sz val="12"/>
      <color indexed="8"/>
      <name val="Arial"/>
      <family val="2"/>
      <charset val="1"/>
    </font>
    <font>
      <sz val="11"/>
      <color indexed="8"/>
      <name val="Arial"/>
      <family val="2"/>
      <charset val="1"/>
    </font>
    <font>
      <sz val="10"/>
      <color rgb="FF000000"/>
      <name val="LiberationSans"/>
    </font>
    <font>
      <u/>
      <sz val="11"/>
      <color theme="10"/>
      <name val="Calibri"/>
      <family val="2"/>
    </font>
    <font>
      <sz val="8"/>
      <color rgb="FF333333"/>
      <name val="Arial"/>
      <family val="2"/>
    </font>
  </fonts>
  <fills count="3">
    <fill>
      <patternFill patternType="none"/>
    </fill>
    <fill>
      <patternFill patternType="gray125"/>
    </fill>
    <fill>
      <patternFill patternType="solid">
        <fgColor indexed="17"/>
        <bgColor indexed="21"/>
      </patternFill>
    </fill>
  </fills>
  <borders count="20">
    <border>
      <left/>
      <right/>
      <top/>
      <bottom/>
      <diagonal/>
    </border>
    <border>
      <left style="thin">
        <color indexed="63"/>
      </left>
      <right style="thin">
        <color indexed="63"/>
      </right>
      <top style="thin">
        <color indexed="63"/>
      </top>
      <bottom style="thin">
        <color indexed="63"/>
      </bottom>
      <diagonal/>
    </border>
    <border>
      <left style="medium">
        <color indexed="63"/>
      </left>
      <right style="medium">
        <color indexed="63"/>
      </right>
      <top/>
      <bottom style="medium">
        <color indexed="63"/>
      </bottom>
      <diagonal/>
    </border>
    <border>
      <left/>
      <right style="medium">
        <color indexed="63"/>
      </right>
      <top/>
      <bottom style="medium">
        <color indexed="63"/>
      </bottom>
      <diagonal/>
    </border>
    <border>
      <left/>
      <right style="thin">
        <color indexed="63"/>
      </right>
      <top style="medium">
        <color indexed="63"/>
      </top>
      <bottom style="thin">
        <color indexed="63"/>
      </bottom>
      <diagonal/>
    </border>
    <border>
      <left style="thin">
        <color indexed="63"/>
      </left>
      <right style="thin">
        <color indexed="63"/>
      </right>
      <top style="medium">
        <color indexed="63"/>
      </top>
      <bottom style="thin">
        <color indexed="63"/>
      </bottom>
      <diagonal/>
    </border>
    <border>
      <left style="thin">
        <color indexed="63"/>
      </left>
      <right style="medium">
        <color indexed="63"/>
      </right>
      <top style="medium">
        <color indexed="63"/>
      </top>
      <bottom style="thin">
        <color indexed="63"/>
      </bottom>
      <diagonal/>
    </border>
    <border>
      <left style="thin">
        <color indexed="63"/>
      </left>
      <right style="medium">
        <color indexed="63"/>
      </right>
      <top style="thin">
        <color indexed="63"/>
      </top>
      <bottom style="thin">
        <color indexed="63"/>
      </bottom>
      <diagonal/>
    </border>
    <border>
      <left style="thin">
        <color indexed="63"/>
      </left>
      <right style="thin">
        <color indexed="63"/>
      </right>
      <top style="thin">
        <color indexed="63"/>
      </top>
      <bottom/>
      <diagonal/>
    </border>
    <border>
      <left/>
      <right style="thin">
        <color indexed="63"/>
      </right>
      <top style="thin">
        <color indexed="63"/>
      </top>
      <bottom style="medium">
        <color indexed="63"/>
      </bottom>
      <diagonal/>
    </border>
    <border>
      <left style="thin">
        <color indexed="63"/>
      </left>
      <right style="thin">
        <color indexed="63"/>
      </right>
      <top style="thin">
        <color indexed="63"/>
      </top>
      <bottom style="medium">
        <color indexed="63"/>
      </bottom>
      <diagonal/>
    </border>
    <border>
      <left style="thin">
        <color indexed="63"/>
      </left>
      <right style="medium">
        <color indexed="63"/>
      </right>
      <top style="thin">
        <color indexed="63"/>
      </top>
      <bottom style="medium">
        <color indexed="63"/>
      </bottom>
      <diagonal/>
    </border>
    <border>
      <left style="medium">
        <color indexed="63"/>
      </left>
      <right/>
      <top/>
      <bottom style="medium">
        <color indexed="63"/>
      </bottom>
      <diagonal/>
    </border>
    <border>
      <left style="medium">
        <color indexed="63"/>
      </left>
      <right/>
      <top style="medium">
        <color indexed="63"/>
      </top>
      <bottom style="thin">
        <color indexed="63"/>
      </bottom>
      <diagonal/>
    </border>
    <border>
      <left style="medium">
        <color indexed="63"/>
      </left>
      <right/>
      <top style="thin">
        <color indexed="63"/>
      </top>
      <bottom style="thin">
        <color indexed="63"/>
      </bottom>
      <diagonal/>
    </border>
    <border>
      <left/>
      <right style="thin">
        <color indexed="63"/>
      </right>
      <top style="thin">
        <color indexed="63"/>
      </top>
      <bottom style="thin">
        <color indexed="63"/>
      </bottom>
      <diagonal/>
    </border>
    <border>
      <left style="medium">
        <color indexed="63"/>
      </left>
      <right/>
      <top style="medium">
        <color indexed="63"/>
      </top>
      <bottom/>
      <diagonal/>
    </border>
    <border>
      <left/>
      <right style="medium">
        <color indexed="63"/>
      </right>
      <top style="medium">
        <color indexed="63"/>
      </top>
      <bottom/>
      <diagonal/>
    </border>
    <border>
      <left style="medium">
        <color indexed="63"/>
      </left>
      <right style="medium">
        <color indexed="63"/>
      </right>
      <top style="medium">
        <color indexed="63"/>
      </top>
      <bottom/>
      <diagonal/>
    </border>
    <border>
      <left style="medium">
        <color indexed="63"/>
      </left>
      <right/>
      <top style="thin">
        <color indexed="63"/>
      </top>
      <bottom style="medium">
        <color indexed="63"/>
      </bottom>
      <diagonal/>
    </border>
  </borders>
  <cellStyleXfs count="2">
    <xf numFmtId="0" fontId="0" fillId="0" borderId="0"/>
    <xf numFmtId="0" fontId="7" fillId="0" borderId="0" applyNumberFormat="0" applyFill="0" applyBorder="0" applyAlignment="0" applyProtection="0"/>
  </cellStyleXfs>
  <cellXfs count="40">
    <xf numFmtId="0" fontId="0" fillId="0" borderId="0" xfId="0"/>
    <xf numFmtId="0" fontId="1" fillId="0" borderId="0" xfId="0" applyFont="1"/>
    <xf numFmtId="0" fontId="1" fillId="0" borderId="0" xfId="0" applyFont="1" applyAlignment="1">
      <alignment horizontal="center"/>
    </xf>
    <xf numFmtId="0" fontId="2" fillId="0" borderId="0" xfId="0" applyFont="1"/>
    <xf numFmtId="0" fontId="2" fillId="0" borderId="0" xfId="0" applyFont="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4" fillId="0" borderId="0" xfId="0" applyFont="1"/>
    <xf numFmtId="0" fontId="2" fillId="0" borderId="1" xfId="0" applyFont="1" applyBorder="1" applyAlignment="1">
      <alignment horizontal="center"/>
    </xf>
    <xf numFmtId="166" fontId="2" fillId="0" borderId="1" xfId="0" applyNumberFormat="1" applyFont="1" applyBorder="1" applyAlignment="1">
      <alignment horizontal="center"/>
    </xf>
    <xf numFmtId="166" fontId="2" fillId="0" borderId="7" xfId="0" applyNumberFormat="1" applyFont="1" applyBorder="1" applyAlignment="1">
      <alignment horizontal="center"/>
    </xf>
    <xf numFmtId="0" fontId="5" fillId="0" borderId="0" xfId="0" applyFont="1"/>
    <xf numFmtId="167" fontId="2" fillId="0" borderId="1" xfId="0" applyNumberFormat="1" applyFont="1" applyBorder="1" applyAlignment="1">
      <alignment horizontal="center"/>
    </xf>
    <xf numFmtId="0" fontId="2" fillId="0" borderId="8" xfId="0" applyFont="1" applyBorder="1" applyAlignment="1">
      <alignment horizontal="center"/>
    </xf>
    <xf numFmtId="167" fontId="2" fillId="0" borderId="8" xfId="0" applyNumberFormat="1"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166" fontId="2" fillId="2" borderId="11" xfId="0" applyNumberFormat="1" applyFont="1" applyFill="1" applyBorder="1" applyAlignment="1">
      <alignment horizontal="center"/>
    </xf>
    <xf numFmtId="0" fontId="6" fillId="0" borderId="0" xfId="0" applyFont="1"/>
    <xf numFmtId="0" fontId="2" fillId="0" borderId="0" xfId="0" applyFont="1" applyAlignment="1">
      <alignment vertical="top" wrapText="1"/>
    </xf>
    <xf numFmtId="0" fontId="3" fillId="0" borderId="18" xfId="0" applyFont="1" applyBorder="1" applyAlignment="1">
      <alignment horizontal="center" vertical="center"/>
    </xf>
    <xf numFmtId="0" fontId="2" fillId="0" borderId="19"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left" vertical="top" wrapText="1"/>
    </xf>
    <xf numFmtId="0" fontId="2" fillId="0" borderId="14" xfId="0" applyFont="1" applyBorder="1" applyAlignment="1">
      <alignment horizontal="center"/>
    </xf>
    <xf numFmtId="0" fontId="2" fillId="0" borderId="15" xfId="0" applyFont="1" applyBorder="1" applyAlignment="1">
      <alignment horizontal="center"/>
    </xf>
    <xf numFmtId="0" fontId="3" fillId="0" borderId="13" xfId="0" applyFont="1" applyBorder="1" applyAlignment="1">
      <alignment horizontal="center"/>
    </xf>
    <xf numFmtId="0" fontId="3" fillId="0" borderId="4" xfId="0" applyFont="1" applyBorder="1" applyAlignment="1">
      <alignment horizontal="center"/>
    </xf>
    <xf numFmtId="0" fontId="3" fillId="0" borderId="18" xfId="0" applyFont="1" applyBorder="1" applyAlignment="1">
      <alignment horizontal="center" vertical="center"/>
    </xf>
    <xf numFmtId="0" fontId="2" fillId="0" borderId="2" xfId="0" applyFont="1" applyBorder="1" applyAlignment="1">
      <alignment vertical="top"/>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2" fillId="0" borderId="12" xfId="0" applyFont="1" applyBorder="1"/>
    <xf numFmtId="0" fontId="2" fillId="0" borderId="3" xfId="0" applyFont="1" applyBorder="1"/>
    <xf numFmtId="0" fontId="2" fillId="0" borderId="2" xfId="0" quotePrefix="1" applyFont="1" applyBorder="1" applyAlignment="1"/>
    <xf numFmtId="0" fontId="7" fillId="0" borderId="2" xfId="1" applyBorder="1" applyAlignment="1">
      <alignment vertical="top"/>
    </xf>
    <xf numFmtId="14" fontId="2" fillId="0" borderId="3" xfId="0" applyNumberFormat="1" applyFont="1" applyBorder="1" applyAlignment="1"/>
    <xf numFmtId="0" fontId="8" fillId="0" borderId="0" xfId="0" applyFont="1"/>
    <xf numFmtId="0" fontId="7" fillId="0" borderId="0" xfId="1"/>
  </cellXfs>
  <cellStyles count="2">
    <cellStyle name="Link" xfId="1" builtinId="8"/>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F1C1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0</xdr:col>
      <xdr:colOff>431800</xdr:colOff>
      <xdr:row>34</xdr:row>
      <xdr:rowOff>177800</xdr:rowOff>
    </xdr:to>
    <xdr:pic>
      <xdr:nvPicPr>
        <xdr:cNvPr id="1033" name="Grafik 3">
          <a:extLst>
            <a:ext uri="{FF2B5EF4-FFF2-40B4-BE49-F238E27FC236}">
              <a16:creationId xmlns:a16="http://schemas.microsoft.com/office/drawing/2014/main" id="{3F2D7EF0-CEF7-3526-0F47-3AE4DAEB02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527800"/>
          <a:ext cx="4318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30</xdr:row>
      <xdr:rowOff>0</xdr:rowOff>
    </xdr:from>
    <xdr:to>
      <xdr:col>0</xdr:col>
      <xdr:colOff>431800</xdr:colOff>
      <xdr:row>31</xdr:row>
      <xdr:rowOff>177800</xdr:rowOff>
    </xdr:to>
    <xdr:pic>
      <xdr:nvPicPr>
        <xdr:cNvPr id="1034" name="Grafik 4">
          <a:extLst>
            <a:ext uri="{FF2B5EF4-FFF2-40B4-BE49-F238E27FC236}">
              <a16:creationId xmlns:a16="http://schemas.microsoft.com/office/drawing/2014/main" id="{6E06073D-BDA1-1E42-44D7-4A65BF884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943600"/>
          <a:ext cx="4318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ouser.de/ProductDetail/Texas-Instruments/TLV1117LV33DCYR?qs=tEz3BkPb1rwzXMb8FiWhow%3D%3D" TargetMode="External"/><Relationship Id="rId2" Type="http://schemas.openxmlformats.org/officeDocument/2006/relationships/hyperlink" Target="https://www.mouser.de/ProductDetail/STMicroelectronics/STM32F303RET6?qs=iEvsikg1EVxqzySz0rz1MQ%3D%3D" TargetMode="External"/><Relationship Id="rId1" Type="http://schemas.openxmlformats.org/officeDocument/2006/relationships/hyperlink" Target="mailto:maxim.castor@htwg-konstanz.de"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mouser.de/ProductDetail/MaxLinear/SP3485EN-L?qs=H%252BP%2FcHWii3c8mP8aY3W2mg%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1C9E-4CD4-41F8-B220-3DBC53CEFEF9}">
  <dimension ref="A1:K36"/>
  <sheetViews>
    <sheetView tabSelected="1" workbookViewId="0">
      <selection activeCell="G12" sqref="G12"/>
    </sheetView>
  </sheetViews>
  <sheetFormatPr baseColWidth="10" defaultColWidth="11.453125" defaultRowHeight="15.5"/>
  <cols>
    <col min="1" max="1" width="7.7265625" style="1" customWidth="1"/>
    <col min="2" max="2" width="37.7265625" style="1" customWidth="1"/>
    <col min="3" max="3" width="16.54296875" style="2" customWidth="1"/>
    <col min="4" max="5" width="19" style="1" customWidth="1"/>
    <col min="6" max="6" width="8.453125" style="1" customWidth="1"/>
    <col min="7" max="7" width="11.1796875" style="1" customWidth="1"/>
    <col min="8" max="8" width="13.81640625" style="1" customWidth="1"/>
    <col min="9" max="16384" width="11.453125" style="1"/>
  </cols>
  <sheetData>
    <row r="1" spans="1:11" ht="16" thickBot="1">
      <c r="A1" s="3"/>
      <c r="B1" s="3"/>
      <c r="C1" s="4"/>
      <c r="D1" s="3"/>
      <c r="E1" s="3"/>
      <c r="F1" s="3"/>
      <c r="G1" s="3"/>
      <c r="H1" s="3"/>
    </row>
    <row r="2" spans="1:11" ht="15.75" customHeight="1">
      <c r="A2" s="31" t="s">
        <v>0</v>
      </c>
      <c r="B2" s="32"/>
      <c r="C2" s="21" t="s">
        <v>1</v>
      </c>
      <c r="D2" s="29" t="s">
        <v>2</v>
      </c>
      <c r="E2" s="29"/>
      <c r="F2" s="29" t="s">
        <v>3</v>
      </c>
      <c r="G2" s="29"/>
      <c r="H2" s="21" t="s">
        <v>4</v>
      </c>
    </row>
    <row r="3" spans="1:11" ht="16.5" customHeight="1" thickBot="1">
      <c r="A3" s="33" t="s">
        <v>15</v>
      </c>
      <c r="B3" s="34"/>
      <c r="C3" s="35" t="s">
        <v>16</v>
      </c>
      <c r="D3" s="30" t="s">
        <v>17</v>
      </c>
      <c r="E3" s="30"/>
      <c r="F3" s="36" t="s">
        <v>18</v>
      </c>
      <c r="G3" s="30"/>
      <c r="H3" s="37">
        <v>46202</v>
      </c>
    </row>
    <row r="4" spans="1:11" ht="16" thickBot="1">
      <c r="A4" s="19"/>
      <c r="B4" s="19"/>
      <c r="C4" s="4"/>
      <c r="D4" s="3"/>
      <c r="E4" s="3"/>
      <c r="F4" s="3"/>
      <c r="G4" s="3"/>
      <c r="H4" s="3"/>
    </row>
    <row r="5" spans="1:11" s="8" customFormat="1">
      <c r="A5" s="27" t="s">
        <v>5</v>
      </c>
      <c r="B5" s="28"/>
      <c r="C5" s="5" t="s">
        <v>6</v>
      </c>
      <c r="D5" s="6" t="s">
        <v>7</v>
      </c>
      <c r="E5" s="6" t="s">
        <v>8</v>
      </c>
      <c r="F5" s="6" t="s">
        <v>9</v>
      </c>
      <c r="G5" s="6" t="s">
        <v>10</v>
      </c>
      <c r="H5" s="7" t="s">
        <v>11</v>
      </c>
      <c r="J5" s="19"/>
    </row>
    <row r="6" spans="1:11">
      <c r="A6" s="25" t="s">
        <v>19</v>
      </c>
      <c r="B6" s="26"/>
      <c r="C6" s="38" t="s">
        <v>20</v>
      </c>
      <c r="D6" s="9" t="s">
        <v>21</v>
      </c>
      <c r="E6" s="39" t="s">
        <v>22</v>
      </c>
      <c r="F6" s="9">
        <v>2</v>
      </c>
      <c r="G6" s="10">
        <v>9.61</v>
      </c>
      <c r="H6" s="11">
        <f t="shared" ref="H6:H28" si="0">F6*G6</f>
        <v>19.22</v>
      </c>
    </row>
    <row r="7" spans="1:11">
      <c r="A7" s="25" t="s">
        <v>23</v>
      </c>
      <c r="B7" s="26"/>
      <c r="C7" s="38" t="s">
        <v>24</v>
      </c>
      <c r="D7" s="9" t="s">
        <v>21</v>
      </c>
      <c r="E7" s="39" t="s">
        <v>25</v>
      </c>
      <c r="F7" s="9">
        <v>2</v>
      </c>
      <c r="G7" s="10">
        <v>0.224</v>
      </c>
      <c r="H7" s="11">
        <f t="shared" si="0"/>
        <v>0.44800000000000001</v>
      </c>
    </row>
    <row r="8" spans="1:11">
      <c r="A8" s="25" t="s">
        <v>26</v>
      </c>
      <c r="B8" s="26"/>
      <c r="C8" s="38" t="s">
        <v>27</v>
      </c>
      <c r="D8" s="9" t="s">
        <v>21</v>
      </c>
      <c r="E8" s="39" t="s">
        <v>28</v>
      </c>
      <c r="F8" s="9">
        <v>4</v>
      </c>
      <c r="G8" s="10">
        <v>0.82599999999999996</v>
      </c>
      <c r="H8" s="11">
        <f t="shared" si="0"/>
        <v>3.3039999999999998</v>
      </c>
    </row>
    <row r="9" spans="1:11">
      <c r="A9" s="25"/>
      <c r="B9" s="26"/>
      <c r="C9" s="9"/>
      <c r="D9" s="9"/>
      <c r="E9" s="9"/>
      <c r="F9" s="9"/>
      <c r="G9" s="10"/>
      <c r="H9" s="11">
        <f t="shared" si="0"/>
        <v>0</v>
      </c>
      <c r="J9" s="19"/>
    </row>
    <row r="10" spans="1:11">
      <c r="A10" s="25"/>
      <c r="B10" s="26"/>
      <c r="C10" s="9"/>
      <c r="D10" s="9"/>
      <c r="E10" s="9"/>
      <c r="F10" s="9"/>
      <c r="G10" s="10"/>
      <c r="H10" s="11">
        <f t="shared" si="0"/>
        <v>0</v>
      </c>
    </row>
    <row r="11" spans="1:11">
      <c r="A11" s="25"/>
      <c r="B11" s="26"/>
      <c r="C11" s="9"/>
      <c r="D11" s="9"/>
      <c r="E11" s="9"/>
      <c r="F11" s="9"/>
      <c r="G11" s="10"/>
      <c r="H11" s="11">
        <f t="shared" si="0"/>
        <v>0</v>
      </c>
    </row>
    <row r="12" spans="1:11">
      <c r="A12" s="25"/>
      <c r="B12" s="26"/>
      <c r="C12" s="9"/>
      <c r="D12" s="9"/>
      <c r="E12" s="9"/>
      <c r="F12" s="9"/>
      <c r="G12" s="10"/>
      <c r="H12" s="11">
        <f t="shared" si="0"/>
        <v>0</v>
      </c>
    </row>
    <row r="13" spans="1:11">
      <c r="A13" s="25"/>
      <c r="B13" s="26"/>
      <c r="C13" s="9"/>
      <c r="D13" s="9"/>
      <c r="E13" s="9"/>
      <c r="F13" s="9"/>
      <c r="G13" s="10"/>
      <c r="H13" s="11">
        <f t="shared" si="0"/>
        <v>0</v>
      </c>
    </row>
    <row r="14" spans="1:11" s="12" customFormat="1">
      <c r="A14" s="25"/>
      <c r="B14" s="26"/>
      <c r="C14" s="9"/>
      <c r="D14" s="9"/>
      <c r="E14" s="9"/>
      <c r="F14" s="9"/>
      <c r="G14" s="10"/>
      <c r="H14" s="11">
        <f t="shared" si="0"/>
        <v>0</v>
      </c>
      <c r="I14" s="1"/>
      <c r="J14" s="1"/>
      <c r="K14" s="1"/>
    </row>
    <row r="15" spans="1:11">
      <c r="A15" s="25"/>
      <c r="B15" s="26"/>
      <c r="C15" s="9"/>
      <c r="D15" s="9"/>
      <c r="E15" s="9"/>
      <c r="F15" s="9"/>
      <c r="G15" s="10"/>
      <c r="H15" s="11">
        <f t="shared" si="0"/>
        <v>0</v>
      </c>
    </row>
    <row r="16" spans="1:11">
      <c r="A16" s="25"/>
      <c r="B16" s="26"/>
      <c r="C16" s="9"/>
      <c r="D16" s="9"/>
      <c r="E16" s="9"/>
      <c r="F16" s="9"/>
      <c r="G16" s="10"/>
      <c r="H16" s="11">
        <f t="shared" si="0"/>
        <v>0</v>
      </c>
    </row>
    <row r="17" spans="1:11">
      <c r="A17" s="25"/>
      <c r="B17" s="26"/>
      <c r="C17" s="9"/>
      <c r="D17" s="9"/>
      <c r="E17" s="9"/>
      <c r="F17" s="9"/>
      <c r="G17" s="10"/>
      <c r="H17" s="11">
        <f t="shared" si="0"/>
        <v>0</v>
      </c>
    </row>
    <row r="18" spans="1:11">
      <c r="A18" s="25"/>
      <c r="B18" s="26"/>
      <c r="C18" s="9"/>
      <c r="D18" s="9"/>
      <c r="E18" s="9"/>
      <c r="F18" s="9"/>
      <c r="G18" s="10"/>
      <c r="H18" s="11">
        <f t="shared" si="0"/>
        <v>0</v>
      </c>
    </row>
    <row r="19" spans="1:11">
      <c r="A19" s="25"/>
      <c r="B19" s="26"/>
      <c r="C19" s="9"/>
      <c r="D19" s="9"/>
      <c r="E19" s="9"/>
      <c r="F19" s="9"/>
      <c r="G19" s="10"/>
      <c r="H19" s="11">
        <f t="shared" si="0"/>
        <v>0</v>
      </c>
    </row>
    <row r="20" spans="1:11">
      <c r="A20" s="25"/>
      <c r="B20" s="26"/>
      <c r="C20" s="9"/>
      <c r="D20" s="9"/>
      <c r="E20" s="9"/>
      <c r="F20" s="9"/>
      <c r="G20" s="10"/>
      <c r="H20" s="11">
        <f t="shared" si="0"/>
        <v>0</v>
      </c>
    </row>
    <row r="21" spans="1:11">
      <c r="A21" s="25"/>
      <c r="B21" s="26"/>
      <c r="C21" s="9"/>
      <c r="D21" s="9"/>
      <c r="E21" s="9"/>
      <c r="F21" s="9"/>
      <c r="G21" s="10"/>
      <c r="H21" s="11">
        <f t="shared" si="0"/>
        <v>0</v>
      </c>
    </row>
    <row r="22" spans="1:11">
      <c r="A22" s="25"/>
      <c r="B22" s="26"/>
      <c r="C22" s="9"/>
      <c r="D22" s="9"/>
      <c r="E22" s="9"/>
      <c r="F22" s="9"/>
      <c r="G22" s="13"/>
      <c r="H22" s="11">
        <f t="shared" si="0"/>
        <v>0</v>
      </c>
    </row>
    <row r="23" spans="1:11">
      <c r="A23" s="25"/>
      <c r="B23" s="26"/>
      <c r="C23" s="9"/>
      <c r="D23" s="9"/>
      <c r="E23" s="9"/>
      <c r="F23" s="9"/>
      <c r="G23" s="13"/>
      <c r="H23" s="11">
        <f t="shared" si="0"/>
        <v>0</v>
      </c>
    </row>
    <row r="24" spans="1:11">
      <c r="A24" s="25"/>
      <c r="B24" s="26"/>
      <c r="C24" s="9"/>
      <c r="D24" s="9"/>
      <c r="E24" s="9"/>
      <c r="F24" s="9"/>
      <c r="G24" s="10"/>
      <c r="H24" s="11">
        <f t="shared" si="0"/>
        <v>0</v>
      </c>
    </row>
    <row r="25" spans="1:11">
      <c r="A25" s="25"/>
      <c r="B25" s="26"/>
      <c r="C25" s="9"/>
      <c r="D25" s="9"/>
      <c r="E25" s="9"/>
      <c r="F25" s="9"/>
      <c r="G25" s="13"/>
      <c r="H25" s="11">
        <f t="shared" si="0"/>
        <v>0</v>
      </c>
    </row>
    <row r="26" spans="1:11">
      <c r="A26" s="25"/>
      <c r="B26" s="26"/>
      <c r="C26" s="9"/>
      <c r="D26" s="9"/>
      <c r="E26" s="9"/>
      <c r="F26" s="9"/>
      <c r="G26" s="13"/>
      <c r="H26" s="11">
        <f t="shared" si="0"/>
        <v>0</v>
      </c>
    </row>
    <row r="27" spans="1:11">
      <c r="A27" s="25"/>
      <c r="B27" s="26"/>
      <c r="C27" s="9"/>
      <c r="D27" s="9"/>
      <c r="E27" s="9"/>
      <c r="F27" s="9"/>
      <c r="G27" s="13"/>
      <c r="H27" s="11">
        <f t="shared" si="0"/>
        <v>0</v>
      </c>
    </row>
    <row r="28" spans="1:11">
      <c r="A28" s="25"/>
      <c r="B28" s="26"/>
      <c r="C28" s="9"/>
      <c r="D28" s="14"/>
      <c r="E28" s="14"/>
      <c r="F28" s="14"/>
      <c r="G28" s="15"/>
      <c r="H28" s="11">
        <f t="shared" si="0"/>
        <v>0</v>
      </c>
      <c r="K28" s="3"/>
    </row>
    <row r="29" spans="1:11" ht="16.5" customHeight="1" thickBot="1">
      <c r="A29" s="22"/>
      <c r="B29" s="23"/>
      <c r="C29" s="16"/>
      <c r="D29" s="17"/>
      <c r="E29" s="17"/>
      <c r="F29" s="17" t="s">
        <v>12</v>
      </c>
      <c r="G29" s="17"/>
      <c r="H29" s="18">
        <f>SUM(H6:H28)</f>
        <v>22.971999999999998</v>
      </c>
      <c r="K29" s="3"/>
    </row>
    <row r="30" spans="1:11">
      <c r="A30" s="3"/>
      <c r="B30" s="3"/>
      <c r="C30" s="4"/>
      <c r="D30" s="3"/>
      <c r="E30" s="3"/>
      <c r="F30" s="3"/>
      <c r="G30" s="3"/>
      <c r="H30" s="3"/>
      <c r="K30" s="19"/>
    </row>
    <row r="31" spans="1:11" ht="15" customHeight="1">
      <c r="A31" s="20"/>
      <c r="B31" s="24" t="s">
        <v>13</v>
      </c>
      <c r="C31" s="24"/>
      <c r="D31" s="24"/>
      <c r="E31" s="24"/>
      <c r="F31" s="24"/>
      <c r="G31" s="24"/>
      <c r="H31" s="24"/>
    </row>
    <row r="32" spans="1:11">
      <c r="A32" s="20"/>
      <c r="B32" s="24"/>
      <c r="C32" s="24"/>
      <c r="D32" s="24"/>
      <c r="E32" s="24"/>
      <c r="F32" s="24"/>
      <c r="G32" s="24"/>
      <c r="H32" s="24"/>
    </row>
    <row r="33" spans="1:8">
      <c r="A33" s="20"/>
      <c r="B33" s="20"/>
      <c r="C33" s="20"/>
      <c r="D33" s="20"/>
      <c r="E33" s="20"/>
      <c r="F33" s="20"/>
      <c r="G33" s="20"/>
      <c r="H33" s="3"/>
    </row>
    <row r="34" spans="1:8" ht="15" customHeight="1">
      <c r="A34" s="20"/>
      <c r="B34" s="24" t="s">
        <v>14</v>
      </c>
      <c r="C34" s="24"/>
      <c r="D34" s="24"/>
      <c r="E34" s="24"/>
      <c r="F34" s="24"/>
      <c r="G34" s="24"/>
      <c r="H34" s="24"/>
    </row>
    <row r="35" spans="1:8">
      <c r="A35" s="20"/>
      <c r="B35" s="24"/>
      <c r="C35" s="24"/>
      <c r="D35" s="24"/>
      <c r="E35" s="24"/>
      <c r="F35" s="24"/>
      <c r="G35" s="24"/>
      <c r="H35" s="24"/>
    </row>
    <row r="36" spans="1:8">
      <c r="A36" s="19"/>
      <c r="B36" s="24"/>
      <c r="C36" s="24"/>
      <c r="D36" s="24"/>
      <c r="E36" s="24"/>
      <c r="F36" s="24"/>
      <c r="G36" s="24"/>
      <c r="H36" s="24"/>
    </row>
  </sheetData>
  <sheetProtection selectLockedCells="1" selectUnlockedCells="1"/>
  <mergeCells count="33">
    <mergeCell ref="D2:E2"/>
    <mergeCell ref="F2:G2"/>
    <mergeCell ref="D3:E3"/>
    <mergeCell ref="F3:G3"/>
    <mergeCell ref="A2:B2"/>
    <mergeCell ref="A3:B3"/>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9:B29"/>
    <mergeCell ref="B31:H32"/>
    <mergeCell ref="B34:H36"/>
    <mergeCell ref="A23:B23"/>
    <mergeCell ref="A24:B24"/>
    <mergeCell ref="A25:B25"/>
    <mergeCell ref="A26:B26"/>
    <mergeCell ref="A27:B27"/>
    <mergeCell ref="A28:B28"/>
  </mergeCells>
  <hyperlinks>
    <hyperlink ref="F3" r:id="rId1" xr:uid="{7E28AFA6-EBF5-4936-A9A7-D033E491062E}"/>
    <hyperlink ref="E6" r:id="rId2" display="https://www.mouser.de/ProductDetail/STMicroelectronics/STM32F303RET6?qs=iEvsikg1EVxqzySz0rz1MQ%3D%3D" xr:uid="{CE5E145B-5107-4A27-B18B-06A97FB491D4}"/>
    <hyperlink ref="E7" r:id="rId3" display="https://www.mouser.de/ProductDetail/Texas-Instruments/TLV1117LV33DCYR?qs=tEz3BkPb1rwzXMb8FiWhow%3D%3D" xr:uid="{63EDD0E1-45E6-4E00-82CB-BC2C503621AC}"/>
    <hyperlink ref="E8" r:id="rId4" display="https://www.mouser.de/ProductDetail/MaxLinear/SP3485EN-L?qs=H%252BP%2FcHWii3c8mP8aY3W2mg%3D%3D" xr:uid="{4BA262DC-BF12-4CC8-B5FC-76FC4D8A84E4}"/>
  </hyperlinks>
  <printOptions horizontalCentered="1" verticalCentered="1"/>
  <pageMargins left="0.51181102362204722" right="0.51181102362204722" top="0.39370078740157483" bottom="0.39370078740157483" header="0.39370078740157483" footer="0.39370078740157483"/>
  <pageSetup paperSize="9" firstPageNumber="0" orientation="landscape" horizontalDpi="300" verticalDpi="300" r:id="rId5"/>
  <headerFooter alignWithMargins="0"/>
  <drawing r:id="rId6"/>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Bestellliste</vt:lpstr>
      <vt:lpstr>Bestellliste!head_detail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 Castor</dc:creator>
  <cp:lastModifiedBy>Maxim Castor</cp:lastModifiedBy>
  <cp:lastPrinted>2016-09-14T14:10:58Z</cp:lastPrinted>
  <dcterms:created xsi:type="dcterms:W3CDTF">2026-06-29T08:07:21Z</dcterms:created>
  <dcterms:modified xsi:type="dcterms:W3CDTF">2026-06-29T08:07:53Z</dcterms:modified>
</cp:coreProperties>
</file>